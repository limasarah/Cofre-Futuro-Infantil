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" sheetId="1" state="visible" r:id="rId1"/>
    <sheet xmlns:r="http://schemas.openxmlformats.org/officeDocument/2006/relationships" name="APOIO" sheetId="2" state="visible" r:id="rId2"/>
  </sheets>
  <definedNames>
    <definedName name="salario">'APP'!$D$6</definedName>
    <definedName name="rendimento_carteira">'APP'!$D$7</definedName>
    <definedName name="sugestao_investimento">'APP'!$D$8</definedName>
    <definedName name="aporte">'APP'!$D$11</definedName>
    <definedName name="anos">'APP'!$D$12</definedName>
    <definedName name="taxa_mensal">'APP'!$D$13</definedName>
    <definedName name="patrimonio_acumulado">'APP'!$D$14</definedName>
    <definedName name="dividendos_mensais">'APP'!$D$15</definedName>
    <definedName name="perfil">'APP'!$C$26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6"/>
    </font>
    <font>
      <name val="Calibri"/>
      <i val="1"/>
      <color rgb="00D1E2C4"/>
      <sz val="10"/>
    </font>
    <font>
      <name val="Calibri"/>
      <b val="1"/>
      <color rgb="001B365D"/>
      <sz val="12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B365D"/>
        <bgColor rgb="001B365D"/>
      </patternFill>
    </fill>
    <fill>
      <patternFill patternType="solid">
        <fgColor rgb="00F0F2F5"/>
        <bgColor rgb="00F0F2F5"/>
      </patternFill>
    </fill>
    <fill>
      <patternFill patternType="solid">
        <fgColor rgb="00E8EEF5"/>
        <bgColor rgb="00E8EEF5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1" pivotButton="0" quotePrefix="0" xfId="0"/>
    <xf numFmtId="0" fontId="0" fillId="0" borderId="1" pivotButton="0" quotePrefix="0" xfId="0"/>
    <xf numFmtId="164" fontId="6" fillId="0" borderId="1" applyAlignment="1" pivotButton="0" quotePrefix="0" xfId="0">
      <alignment horizontal="right"/>
    </xf>
    <xf numFmtId="10" fontId="6" fillId="0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1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6" fillId="0" borderId="1" applyAlignment="1" pivotButton="0" quotePrefix="0" xfId="0">
      <alignment horizontal="center"/>
    </xf>
    <xf numFmtId="0" fontId="6" fillId="0" borderId="0" pivotButton="0" quotePrefix="0" xfId="0"/>
    <xf numFmtId="0" fontId="6" fillId="5" borderId="0" applyAlignment="1" pivotButton="0" quotePrefix="0" xfId="0">
      <alignment horizontal="center"/>
    </xf>
    <xf numFmtId="164" fontId="6" fillId="4" borderId="0" applyAlignment="1" pivotButton="0" quotePrefix="0" xfId="0">
      <alignment horizontal="right"/>
    </xf>
    <xf numFmtId="10" fontId="6" fillId="4" borderId="1" applyAlignment="1" pivotButton="0" quotePrefix="0" xfId="0">
      <alignment horizontal="center"/>
    </xf>
    <xf numFmtId="0" fontId="6" fillId="0" borderId="1" pivotButton="0" quotePrefix="0" xfId="0"/>
    <xf numFmtId="10" fontId="6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do Aporte por Tipo de FII</a:t>
            </a:r>
          </a:p>
        </rich>
      </tx>
    </title>
    <plotArea>
      <pieChart>
        <varyColors val="1"/>
        <ser>
          <idx val="0"/>
          <order val="0"/>
          <tx>
            <strRef>
              <f>'APP'!D29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'APP'!$B$30:$B$35</f>
            </numRef>
          </cat>
          <val>
            <numRef>
              <f>'APP'!$D$30:$D$35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24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30" customWidth="1" min="3" max="3"/>
    <col width="25" customWidth="1" min="4" max="4"/>
    <col width="22" customWidth="1" min="5" max="5"/>
    <col width="25" customWidth="1" min="6" max="6"/>
  </cols>
  <sheetData>
    <row r="2" ht="28" customHeight="1">
      <c r="B2" s="1" t="inlineStr">
        <is>
          <t>Cofre Futuro Infantil | Simulador de Patrimônio &amp; Dividendos para os Filhos</t>
        </is>
      </c>
    </row>
    <row r="3" ht="18" customHeight="1">
      <c r="B3" s="2" t="inlineStr">
        <is>
          <t>Planejamento Financeiro de Longo Prazo e Criação de Renda Passiva</t>
        </is>
      </c>
    </row>
    <row r="5">
      <c r="B5" s="3" t="inlineStr">
        <is>
          <t>CONFIGURAÇÕES</t>
        </is>
      </c>
    </row>
    <row r="6">
      <c r="B6" s="4" t="inlineStr">
        <is>
          <t>Salário do Casal/Responsável</t>
        </is>
      </c>
      <c r="C6" s="5" t="n"/>
      <c r="D6" s="6" t="n">
        <v>2000</v>
      </c>
    </row>
    <row r="7">
      <c r="B7" s="4" t="inlineStr">
        <is>
          <t>Rendimento da Carteira (ao mês)</t>
        </is>
      </c>
      <c r="C7" s="5" t="n"/>
      <c r="D7" s="7" t="n">
        <v>0.006</v>
      </c>
    </row>
    <row r="8">
      <c r="B8" s="4" t="inlineStr">
        <is>
          <t>Sugestão de Investimento (30%)</t>
        </is>
      </c>
      <c r="C8" s="5" t="n"/>
      <c r="D8" s="8">
        <f>salario*0.3</f>
        <v/>
      </c>
    </row>
    <row r="10">
      <c r="B10" s="3" t="inlineStr">
        <is>
          <t>INVESTIMENTO MENSAL &amp; SIMULAÇÃO</t>
        </is>
      </c>
    </row>
    <row r="11">
      <c r="B11" s="4" t="inlineStr">
        <is>
          <t>1. Quanto investir por mês ?</t>
        </is>
      </c>
      <c r="C11" s="5" t="n"/>
      <c r="D11" s="6" t="n">
        <v>200</v>
      </c>
    </row>
    <row r="12">
      <c r="B12" s="4" t="inlineStr">
        <is>
          <t>2. Por Quantos Anos ?</t>
        </is>
      </c>
      <c r="C12" s="5" t="n"/>
      <c r="D12" s="9" t="n">
        <v>5</v>
      </c>
    </row>
    <row r="13">
      <c r="B13" s="4" t="inlineStr">
        <is>
          <t>3. Taxa de Rendimento mensal ?</t>
        </is>
      </c>
      <c r="C13" s="5" t="n"/>
      <c r="D13" s="10" t="n">
        <v>0.01079</v>
      </c>
    </row>
    <row r="14">
      <c r="B14" s="4" t="inlineStr">
        <is>
          <t>4. Patrimônio acumulado ?</t>
        </is>
      </c>
      <c r="C14" s="5" t="n"/>
      <c r="D14" s="8">
        <f>FV(taxa_mensal; anos*12; -aporte)</f>
        <v/>
      </c>
    </row>
    <row r="15">
      <c r="B15" s="4" t="inlineStr">
        <is>
          <t>5. Dividendos Mensais ?</t>
        </is>
      </c>
      <c r="C15" s="5" t="n"/>
      <c r="D15" s="8">
        <f>patrimonio_acumulado*rendimento_carteira</f>
        <v/>
      </c>
    </row>
    <row r="17">
      <c r="B17" s="3" t="inlineStr">
        <is>
          <t>PROJEÇÃO DE CENÁRIOS (2 A 30 ANOS)</t>
        </is>
      </c>
    </row>
    <row r="18">
      <c r="B18" s="11" t="inlineStr">
        <is>
          <t>Anos</t>
        </is>
      </c>
      <c r="C18" s="12" t="inlineStr">
        <is>
          <t>Horizonte / Descrição</t>
        </is>
      </c>
      <c r="D18" s="11" t="inlineStr">
        <is>
          <t>Patrimônio Acumulado</t>
        </is>
      </c>
      <c r="E18" s="11" t="inlineStr">
        <is>
          <t>Dividendo Mensal</t>
        </is>
      </c>
    </row>
    <row r="19">
      <c r="B19" s="13" t="n">
        <v>2</v>
      </c>
      <c r="C19" s="4" t="inlineStr">
        <is>
          <t>Quanto em 2 Anos ?</t>
        </is>
      </c>
      <c r="D19" s="8">
        <f>FV(taxa_mensal; B19*12; -aporte)</f>
        <v/>
      </c>
      <c r="E19" s="8">
        <f>D19*rendimento_carteira</f>
        <v/>
      </c>
    </row>
    <row r="20">
      <c r="B20" s="13" t="n">
        <v>5</v>
      </c>
      <c r="C20" s="4" t="inlineStr">
        <is>
          <t>Quanto em 5 Anos ?</t>
        </is>
      </c>
      <c r="D20" s="8">
        <f>FV(taxa_mensal; B20*12; -aporte)</f>
        <v/>
      </c>
      <c r="E20" s="8">
        <f>D20*rendimento_carteira</f>
        <v/>
      </c>
    </row>
    <row r="21">
      <c r="B21" s="13" t="n">
        <v>10</v>
      </c>
      <c r="C21" s="4" t="inlineStr">
        <is>
          <t>Quanto em 10 Anos ?</t>
        </is>
      </c>
      <c r="D21" s="8">
        <f>FV(taxa_mensal; B21*12; -aporte)</f>
        <v/>
      </c>
      <c r="E21" s="8">
        <f>D21*rendimento_carteira</f>
        <v/>
      </c>
    </row>
    <row r="22">
      <c r="B22" s="13" t="n">
        <v>20</v>
      </c>
      <c r="C22" s="4" t="inlineStr">
        <is>
          <t>Quanto em 20 Anos ?</t>
        </is>
      </c>
      <c r="D22" s="8">
        <f>FV(taxa_mensal; B22*12; -aporte)</f>
        <v/>
      </c>
      <c r="E22" s="8">
        <f>D22*rendimento_carteira</f>
        <v/>
      </c>
    </row>
    <row r="23">
      <c r="B23" s="13" t="n">
        <v>30</v>
      </c>
      <c r="C23" s="4" t="inlineStr">
        <is>
          <t>Quanto em 30 Anos ?</t>
        </is>
      </c>
      <c r="D23" s="8">
        <f>FV(taxa_mensal; B23*12; -aporte)</f>
        <v/>
      </c>
      <c r="E23" s="8">
        <f>D23*rendimento_carteira</f>
        <v/>
      </c>
    </row>
    <row r="25">
      <c r="B25" s="3" t="inlineStr">
        <is>
          <t>DIVISÃO DO APORTE POR PERFIL</t>
        </is>
      </c>
    </row>
    <row r="26">
      <c r="B26" s="14" t="inlineStr">
        <is>
          <t>PERFIL SELECIONADO:</t>
        </is>
      </c>
      <c r="C26" s="15" t="inlineStr">
        <is>
          <t>Moderado</t>
        </is>
      </c>
    </row>
    <row r="27">
      <c r="B27" s="14" t="inlineStr">
        <is>
          <t>VALOR INVESTIDO/MÊS:</t>
        </is>
      </c>
      <c r="C27" s="16">
        <f>aporte</f>
        <v/>
      </c>
    </row>
    <row r="29">
      <c r="B29" s="11" t="inlineStr">
        <is>
          <t>TIPO DE FII</t>
        </is>
      </c>
      <c r="C29" s="11" t="inlineStr">
        <is>
          <t>Percentual Sugerido</t>
        </is>
      </c>
      <c r="D29" s="11" t="inlineStr">
        <is>
          <t>Valores (R$)</t>
        </is>
      </c>
    </row>
    <row r="30">
      <c r="B30" s="4" t="inlineStr">
        <is>
          <t>PAPEL</t>
        </is>
      </c>
      <c r="C30" s="17">
        <f>VLOOKUP(perfil&amp;"-"&amp;B30; APOIO!$A$2:$D$19; 4; FALSE)</f>
        <v/>
      </c>
      <c r="D30" s="8">
        <f>C27*C30</f>
        <v/>
      </c>
    </row>
    <row r="31">
      <c r="B31" s="4" t="inlineStr">
        <is>
          <t>TIJOLO</t>
        </is>
      </c>
      <c r="C31" s="17">
        <f>VLOOKUP(perfil&amp;"-"&amp;B31; APOIO!$A$2:$D$19; 4; FALSE)</f>
        <v/>
      </c>
      <c r="D31" s="8">
        <f>C27*C31</f>
        <v/>
      </c>
    </row>
    <row r="32">
      <c r="B32" s="4" t="inlineStr">
        <is>
          <t>HÍBRIDOS</t>
        </is>
      </c>
      <c r="C32" s="17">
        <f>VLOOKUP(perfil&amp;"-"&amp;B32; APOIO!$A$2:$D$19; 4; FALSE)</f>
        <v/>
      </c>
      <c r="D32" s="8">
        <f>C27*C32</f>
        <v/>
      </c>
    </row>
    <row r="33">
      <c r="B33" s="4" t="inlineStr">
        <is>
          <t>FOFs</t>
        </is>
      </c>
      <c r="C33" s="17">
        <f>VLOOKUP(perfil&amp;"-"&amp;B33; APOIO!$A$2:$D$19; 4; FALSE)</f>
        <v/>
      </c>
      <c r="D33" s="8">
        <f>C27*C33</f>
        <v/>
      </c>
    </row>
    <row r="34">
      <c r="B34" s="4" t="inlineStr">
        <is>
          <t>DESENVOLVIMENTO</t>
        </is>
      </c>
      <c r="C34" s="17">
        <f>VLOOKUP(perfil&amp;"-"&amp;B34; APOIO!$A$2:$D$19; 4; FALSE)</f>
        <v/>
      </c>
      <c r="D34" s="8">
        <f>C27*C34</f>
        <v/>
      </c>
    </row>
    <row r="35">
      <c r="B35" s="4" t="inlineStr">
        <is>
          <t>HOTELARIAS</t>
        </is>
      </c>
      <c r="C35" s="17">
        <f>VLOOKUP(perfil&amp;"-"&amp;B35; APOIO!$A$2:$D$19; 4; FALSE)</f>
        <v/>
      </c>
      <c r="D35" s="8">
        <f>C27*C35</f>
        <v/>
      </c>
    </row>
    <row r="36">
      <c r="B36" s="18" t="inlineStr">
        <is>
          <t>TOTAL</t>
        </is>
      </c>
      <c r="C36" s="19">
        <f>SUM(C30:C35)</f>
        <v/>
      </c>
      <c r="D36" s="6">
        <f>SUM(D30:D35)</f>
        <v/>
      </c>
    </row>
  </sheetData>
  <mergeCells count="2">
    <mergeCell ref="B2:F2"/>
    <mergeCell ref="B3:F3"/>
  </mergeCells>
  <dataValidations count="1">
    <dataValidation sqref="C26" showDropDown="0" showInputMessage="0" showErrorMessage="0" allowBlank="0" type="list">
      <formula1>"Conservador,Moderado,Agressivo"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5" customWidth="1" min="4" max="4"/>
  </cols>
  <sheetData>
    <row r="1">
      <c r="A1" s="20" t="inlineStr">
        <is>
          <t>CHAVE</t>
        </is>
      </c>
      <c r="B1" s="20" t="inlineStr">
        <is>
          <t>PERFIL</t>
        </is>
      </c>
      <c r="C1" s="20" t="inlineStr">
        <is>
          <t>TIPO DE FII</t>
        </is>
      </c>
      <c r="D1" s="20" t="inlineStr">
        <is>
          <t>%</t>
        </is>
      </c>
    </row>
    <row r="2">
      <c r="A2" s="5">
        <f>B2&amp;"-"&amp;C2</f>
        <v/>
      </c>
      <c r="B2" s="5" t="inlineStr">
        <is>
          <t>Conservador</t>
        </is>
      </c>
      <c r="C2" s="5" t="inlineStr">
        <is>
          <t>PAPEL</t>
        </is>
      </c>
      <c r="D2" s="21" t="n">
        <v>0.3</v>
      </c>
    </row>
    <row r="3">
      <c r="A3" s="5">
        <f>B3&amp;"-"&amp;C3</f>
        <v/>
      </c>
      <c r="B3" s="5" t="inlineStr">
        <is>
          <t>Conservador</t>
        </is>
      </c>
      <c r="C3" s="5" t="inlineStr">
        <is>
          <t>TIJOLO</t>
        </is>
      </c>
      <c r="D3" s="21" t="n">
        <v>0.5</v>
      </c>
    </row>
    <row r="4">
      <c r="A4" s="5">
        <f>B4&amp;"-"&amp;C4</f>
        <v/>
      </c>
      <c r="B4" s="5" t="inlineStr">
        <is>
          <t>Conservador</t>
        </is>
      </c>
      <c r="C4" s="5" t="inlineStr">
        <is>
          <t>HÍBRIDOS</t>
        </is>
      </c>
      <c r="D4" s="21" t="n">
        <v>0.1</v>
      </c>
    </row>
    <row r="5">
      <c r="A5" s="5">
        <f>B5&amp;"-"&amp;C5</f>
        <v/>
      </c>
      <c r="B5" s="5" t="inlineStr">
        <is>
          <t>Conservador</t>
        </is>
      </c>
      <c r="C5" s="5" t="inlineStr">
        <is>
          <t>FOFs</t>
        </is>
      </c>
      <c r="D5" s="21" t="n">
        <v>0.1</v>
      </c>
    </row>
    <row r="6">
      <c r="A6" s="5">
        <f>B6&amp;"-"&amp;C6</f>
        <v/>
      </c>
      <c r="B6" s="5" t="inlineStr">
        <is>
          <t>Conservador</t>
        </is>
      </c>
      <c r="C6" s="5" t="inlineStr">
        <is>
          <t>DESENVOLVIMENTO</t>
        </is>
      </c>
      <c r="D6" s="21" t="n">
        <v>0</v>
      </c>
    </row>
    <row r="7">
      <c r="A7" s="5">
        <f>B7&amp;"-"&amp;C7</f>
        <v/>
      </c>
      <c r="B7" s="5" t="inlineStr">
        <is>
          <t>Conservador</t>
        </is>
      </c>
      <c r="C7" s="5" t="inlineStr">
        <is>
          <t>HOTELARIAS</t>
        </is>
      </c>
      <c r="D7" s="21" t="n">
        <v>0</v>
      </c>
    </row>
    <row r="8">
      <c r="A8" s="5">
        <f>B8&amp;"-"&amp;C8</f>
        <v/>
      </c>
      <c r="B8" s="5" t="inlineStr">
        <is>
          <t>Moderado</t>
        </is>
      </c>
      <c r="C8" s="5" t="inlineStr">
        <is>
          <t>PAPEL</t>
        </is>
      </c>
      <c r="D8" s="21" t="n">
        <v>0.32</v>
      </c>
    </row>
    <row r="9">
      <c r="A9" s="5">
        <f>B9&amp;"-"&amp;C9</f>
        <v/>
      </c>
      <c r="B9" s="5" t="inlineStr">
        <is>
          <t>Moderado</t>
        </is>
      </c>
      <c r="C9" s="5" t="inlineStr">
        <is>
          <t>TIJOLO</t>
        </is>
      </c>
      <c r="D9" s="21" t="n">
        <v>0.35</v>
      </c>
    </row>
    <row r="10">
      <c r="A10" s="5">
        <f>B10&amp;"-"&amp;C10</f>
        <v/>
      </c>
      <c r="B10" s="5" t="inlineStr">
        <is>
          <t>Moderado</t>
        </is>
      </c>
      <c r="C10" s="5" t="inlineStr">
        <is>
          <t>HÍBRIDOS</t>
        </is>
      </c>
      <c r="D10" s="21" t="n">
        <v>0.08</v>
      </c>
    </row>
    <row r="11">
      <c r="A11" s="5">
        <f>B11&amp;"-"&amp;C11</f>
        <v/>
      </c>
      <c r="B11" s="5" t="inlineStr">
        <is>
          <t>Moderado</t>
        </is>
      </c>
      <c r="C11" s="5" t="inlineStr">
        <is>
          <t>FOFs</t>
        </is>
      </c>
      <c r="D11" s="21" t="n">
        <v>0.05</v>
      </c>
    </row>
    <row r="12">
      <c r="A12" s="5">
        <f>B12&amp;"-"&amp;C12</f>
        <v/>
      </c>
      <c r="B12" s="5" t="inlineStr">
        <is>
          <t>Moderado</t>
        </is>
      </c>
      <c r="C12" s="5" t="inlineStr">
        <is>
          <t>DESENVOLVIMENTO</t>
        </is>
      </c>
      <c r="D12" s="21" t="n">
        <v>0.1</v>
      </c>
    </row>
    <row r="13">
      <c r="A13" s="5">
        <f>B13&amp;"-"&amp;C13</f>
        <v/>
      </c>
      <c r="B13" s="5" t="inlineStr">
        <is>
          <t>Moderado</t>
        </is>
      </c>
      <c r="C13" s="5" t="inlineStr">
        <is>
          <t>HOTELARIAS</t>
        </is>
      </c>
      <c r="D13" s="21" t="n">
        <v>0.1</v>
      </c>
    </row>
    <row r="14">
      <c r="A14" s="5">
        <f>B14&amp;"-"&amp;C14</f>
        <v/>
      </c>
      <c r="B14" s="5" t="inlineStr">
        <is>
          <t>Agressivo</t>
        </is>
      </c>
      <c r="C14" s="5" t="inlineStr">
        <is>
          <t>PAPEL</t>
        </is>
      </c>
      <c r="D14" s="21" t="n">
        <v>0.5</v>
      </c>
    </row>
    <row r="15">
      <c r="A15" s="5">
        <f>B15&amp;"-"&amp;C15</f>
        <v/>
      </c>
      <c r="B15" s="5" t="inlineStr">
        <is>
          <t>Agressivo</t>
        </is>
      </c>
      <c r="C15" s="5" t="inlineStr">
        <is>
          <t>TIJOLO</t>
        </is>
      </c>
      <c r="D15" s="21" t="n">
        <v>0.1</v>
      </c>
    </row>
    <row r="16">
      <c r="A16" s="5">
        <f>B16&amp;"-"&amp;C16</f>
        <v/>
      </c>
      <c r="B16" s="5" t="inlineStr">
        <is>
          <t>Agressivo</t>
        </is>
      </c>
      <c r="C16" s="5" t="inlineStr">
        <is>
          <t>HÍBRIDOS</t>
        </is>
      </c>
      <c r="D16" s="21" t="n">
        <v>0.1</v>
      </c>
    </row>
    <row r="17">
      <c r="A17" s="5">
        <f>B17&amp;"-"&amp;C17</f>
        <v/>
      </c>
      <c r="B17" s="5" t="inlineStr">
        <is>
          <t>Agressivo</t>
        </is>
      </c>
      <c r="C17" s="5" t="inlineStr">
        <is>
          <t>FOFs</t>
        </is>
      </c>
      <c r="D17" s="21" t="n">
        <v>0.1</v>
      </c>
    </row>
    <row r="18">
      <c r="A18" s="5">
        <f>B18&amp;"-"&amp;C18</f>
        <v/>
      </c>
      <c r="B18" s="5" t="inlineStr">
        <is>
          <t>Agressivo</t>
        </is>
      </c>
      <c r="C18" s="5" t="inlineStr">
        <is>
          <t>DESENVOLVIMENTO</t>
        </is>
      </c>
      <c r="D18" s="21" t="n">
        <v>0.1</v>
      </c>
    </row>
    <row r="19">
      <c r="A19" s="5">
        <f>B19&amp;"-"&amp;C19</f>
        <v/>
      </c>
      <c r="B19" s="5" t="inlineStr">
        <is>
          <t>Agressivo</t>
        </is>
      </c>
      <c r="C19" s="5" t="inlineStr">
        <is>
          <t>HOTELARIAS</t>
        </is>
      </c>
      <c r="D19" s="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2026-10-23T22:44:04Z</dcterms:created>
  <dcterms:modified xmlns:dcterms="http://purl.org/dc/terms/" xmlns:xsi="http://www.w3.org/2001/XMLSchema-instance" xsi:type="dcterms:W3CDTF">2026-10-23T22:44:04Z</dcterms:modified>
</cp:coreProperties>
</file>